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git_repos\alameda\pestPrep\data_prep\"/>
    </mc:Choice>
  </mc:AlternateContent>
  <bookViews>
    <workbookView xWindow="0" yWindow="0" windowWidth="17805" windowHeight="7695" tabRatio="500"/>
  </bookViews>
  <sheets>
    <sheet name="Sheet1" sheetId="1" r:id="rId1"/>
  </sheets>
  <calcPr calcId="152511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6" i="1" l="1"/>
  <c r="F16" i="1"/>
  <c r="D16" i="1"/>
  <c r="E13" i="1"/>
  <c r="F13" i="1"/>
  <c r="D13" i="1"/>
  <c r="E10" i="1"/>
  <c r="F10" i="1"/>
  <c r="D10" i="1"/>
  <c r="E7" i="1"/>
  <c r="F7" i="1"/>
  <c r="D7" i="1"/>
  <c r="E4" i="1"/>
  <c r="F4" i="1"/>
  <c r="D4" i="1"/>
  <c r="D6" i="1" l="1"/>
  <c r="E6" i="1"/>
  <c r="F6" i="1"/>
  <c r="D9" i="1"/>
  <c r="E9" i="1"/>
  <c r="F9" i="1"/>
  <c r="D12" i="1"/>
  <c r="E12" i="1"/>
  <c r="F12" i="1"/>
  <c r="D15" i="1"/>
  <c r="E15" i="1"/>
  <c r="F15" i="1"/>
  <c r="E3" i="1"/>
  <c r="F3" i="1"/>
  <c r="D3" i="1"/>
</calcChain>
</file>

<file path=xl/sharedStrings.xml><?xml version="1.0" encoding="utf-8"?>
<sst xmlns="http://schemas.openxmlformats.org/spreadsheetml/2006/main" count="36" uniqueCount="15">
  <si>
    <t>m/s</t>
  </si>
  <si>
    <t>Alluvium</t>
  </si>
  <si>
    <t>Livemore Gravel</t>
  </si>
  <si>
    <t>Bed Rock</t>
  </si>
  <si>
    <t>Colluvium</t>
  </si>
  <si>
    <t>Max</t>
  </si>
  <si>
    <t>Intial</t>
  </si>
  <si>
    <t>Min</t>
  </si>
  <si>
    <t>Stream Gravels</t>
  </si>
  <si>
    <t>Geology</t>
  </si>
  <si>
    <t>Zone</t>
  </si>
  <si>
    <t>Units</t>
  </si>
  <si>
    <t>ft/s</t>
  </si>
  <si>
    <t>ft/day</t>
  </si>
  <si>
    <t xml:space="preserve">Colluvium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</si>
</sst>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22222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0" fillId="0" borderId="0" xfId="0" applyNumberFormat="1" applyFont="1"/>
    <xf numFmtId="0" fontId="3" fillId="0" borderId="0" xfId="0" applyFont="1"/>
    <xf numFmtId="11" fontId="3" fillId="0" borderId="0" xfId="0" applyNumberFormat="1" applyFont="1" applyFill="1"/>
    <xf numFmtId="0" fontId="3" fillId="0" borderId="0" xfId="0" applyFont="1" applyFill="1"/>
    <xf numFmtId="0" fontId="0" fillId="0" borderId="0" xfId="0" applyFont="1"/>
    <xf numFmtId="1" fontId="3" fillId="0" borderId="0" xfId="0" applyNumberFormat="1" applyFont="1"/>
    <xf numFmtId="11" fontId="3" fillId="0" borderId="0" xfId="0" applyNumberFormat="1" applyFont="1"/>
    <xf numFmtId="1" fontId="0" fillId="2" borderId="0" xfId="0" applyNumberFormat="1" applyFont="1" applyFill="1"/>
    <xf numFmtId="0" fontId="3" fillId="2" borderId="0" xfId="0" applyFont="1" applyFill="1"/>
    <xf numFmtId="11" fontId="3" fillId="2" borderId="0" xfId="0" applyNumberFormat="1" applyFont="1" applyFill="1"/>
    <xf numFmtId="0" fontId="0" fillId="2" borderId="0" xfId="0" applyFont="1" applyFill="1"/>
    <xf numFmtId="1" fontId="3" fillId="2" borderId="0" xfId="0" applyNumberFormat="1" applyFont="1" applyFill="1"/>
    <xf numFmtId="11" fontId="0" fillId="2" borderId="0" xfId="0" applyNumberFormat="1" applyFont="1" applyFill="1"/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I11" sqref="I11"/>
    </sheetView>
  </sheetViews>
  <sheetFormatPr defaultColWidth="11" defaultRowHeight="15.75" x14ac:dyDescent="0.25"/>
  <cols>
    <col min="1" max="1" width="11" style="7"/>
    <col min="2" max="2" width="18.375" style="7" bestFit="1" customWidth="1"/>
    <col min="3" max="3" width="18.375" style="7" customWidth="1"/>
    <col min="4" max="4" width="11" style="7"/>
    <col min="5" max="5" width="13.625" style="7" customWidth="1"/>
    <col min="6" max="6" width="11.625" style="7" bestFit="1" customWidth="1"/>
    <col min="7" max="16384" width="11" style="7"/>
  </cols>
  <sheetData>
    <row r="1" spans="1:6" s="2" customFormat="1" ht="39" customHeight="1" x14ac:dyDescent="0.25">
      <c r="A1" s="1" t="s">
        <v>10</v>
      </c>
      <c r="B1" s="1" t="s">
        <v>9</v>
      </c>
      <c r="C1" s="1" t="s">
        <v>11</v>
      </c>
      <c r="D1" s="1" t="s">
        <v>6</v>
      </c>
      <c r="E1" s="1" t="s">
        <v>7</v>
      </c>
      <c r="F1" s="1" t="s">
        <v>5</v>
      </c>
    </row>
    <row r="2" spans="1:6" x14ac:dyDescent="0.25">
      <c r="A2" s="3">
        <v>1</v>
      </c>
      <c r="B2" s="4" t="s">
        <v>8</v>
      </c>
      <c r="C2" s="4" t="s">
        <v>0</v>
      </c>
      <c r="D2" s="5">
        <v>0.01</v>
      </c>
      <c r="E2" s="5">
        <v>5.9999999999999995E-4</v>
      </c>
      <c r="F2" s="6">
        <v>2</v>
      </c>
    </row>
    <row r="3" spans="1:6" x14ac:dyDescent="0.25">
      <c r="A3" s="3">
        <v>1</v>
      </c>
      <c r="B3" s="4" t="s">
        <v>8</v>
      </c>
      <c r="C3" s="4" t="s">
        <v>12</v>
      </c>
      <c r="D3" s="5">
        <f>D2*3.28084</f>
        <v>3.2808400000000001E-2</v>
      </c>
      <c r="E3" s="5">
        <f>E2*3.28084</f>
        <v>1.9685039999999998E-3</v>
      </c>
      <c r="F3" s="5">
        <f>F2*3.28084</f>
        <v>6.56168</v>
      </c>
    </row>
    <row r="4" spans="1:6" s="13" customFormat="1" x14ac:dyDescent="0.25">
      <c r="A4" s="10">
        <v>1</v>
      </c>
      <c r="B4" s="11" t="s">
        <v>8</v>
      </c>
      <c r="C4" s="11" t="s">
        <v>13</v>
      </c>
      <c r="D4" s="12">
        <f>D3*86400</f>
        <v>2834.6457600000003</v>
      </c>
      <c r="E4" s="12">
        <f t="shared" ref="E4:F4" si="0">E3*86400</f>
        <v>170.07874559999999</v>
      </c>
      <c r="F4" s="12">
        <f t="shared" si="0"/>
        <v>566929.152</v>
      </c>
    </row>
    <row r="5" spans="1:6" x14ac:dyDescent="0.25">
      <c r="A5" s="3">
        <v>2</v>
      </c>
      <c r="B5" s="4" t="s">
        <v>4</v>
      </c>
      <c r="C5" s="4" t="s">
        <v>0</v>
      </c>
      <c r="D5" s="5">
        <v>4.0000000000000002E-4</v>
      </c>
      <c r="E5" s="5">
        <v>4.0000000000000003E-5</v>
      </c>
      <c r="F5" s="5">
        <v>1E-3</v>
      </c>
    </row>
    <row r="6" spans="1:6" x14ac:dyDescent="0.25">
      <c r="A6" s="3">
        <v>2</v>
      </c>
      <c r="B6" s="4" t="s">
        <v>4</v>
      </c>
      <c r="C6" s="4" t="s">
        <v>12</v>
      </c>
      <c r="D6" s="5">
        <f>D5*3.28084</f>
        <v>1.3123360000000001E-3</v>
      </c>
      <c r="E6" s="5">
        <f>E5*3.28084</f>
        <v>1.3123360000000001E-4</v>
      </c>
      <c r="F6" s="5">
        <f>F5*3.28084</f>
        <v>3.2808400000000001E-3</v>
      </c>
    </row>
    <row r="7" spans="1:6" s="13" customFormat="1" x14ac:dyDescent="0.25">
      <c r="A7" s="10">
        <v>2</v>
      </c>
      <c r="B7" s="11" t="s">
        <v>14</v>
      </c>
      <c r="C7" s="11" t="s">
        <v>13</v>
      </c>
      <c r="D7" s="12">
        <f>D6*86400</f>
        <v>113.3858304</v>
      </c>
      <c r="E7" s="12">
        <f t="shared" ref="E7:F7" si="1">E6*86400</f>
        <v>11.338583040000001</v>
      </c>
      <c r="F7" s="12">
        <f t="shared" si="1"/>
        <v>283.46457600000002</v>
      </c>
    </row>
    <row r="8" spans="1:6" x14ac:dyDescent="0.25">
      <c r="A8" s="8">
        <v>3</v>
      </c>
      <c r="B8" s="4" t="s">
        <v>1</v>
      </c>
      <c r="C8" s="4" t="s">
        <v>0</v>
      </c>
      <c r="D8" s="5">
        <v>3.0000000000000001E-3</v>
      </c>
      <c r="E8" s="5">
        <v>1E-4</v>
      </c>
      <c r="F8" s="5">
        <v>0.02</v>
      </c>
    </row>
    <row r="9" spans="1:6" x14ac:dyDescent="0.25">
      <c r="A9" s="8">
        <v>3</v>
      </c>
      <c r="B9" s="4" t="s">
        <v>1</v>
      </c>
      <c r="C9" s="4" t="s">
        <v>12</v>
      </c>
      <c r="D9" s="5">
        <f>D8*3.28084</f>
        <v>9.8425200000000004E-3</v>
      </c>
      <c r="E9" s="5">
        <f>E8*3.28084</f>
        <v>3.2808400000000003E-4</v>
      </c>
      <c r="F9" s="5">
        <f>F8*3.28084</f>
        <v>6.5616800000000003E-2</v>
      </c>
    </row>
    <row r="10" spans="1:6" s="13" customFormat="1" x14ac:dyDescent="0.25">
      <c r="A10" s="14">
        <v>3</v>
      </c>
      <c r="B10" s="11" t="s">
        <v>1</v>
      </c>
      <c r="C10" s="11" t="s">
        <v>13</v>
      </c>
      <c r="D10" s="12">
        <f>D9*86400</f>
        <v>850.39372800000001</v>
      </c>
      <c r="E10" s="12">
        <f t="shared" ref="E10:F10" si="2">E9*86400</f>
        <v>28.346457600000001</v>
      </c>
      <c r="F10" s="12">
        <f t="shared" si="2"/>
        <v>5669.2915200000007</v>
      </c>
    </row>
    <row r="11" spans="1:6" x14ac:dyDescent="0.25">
      <c r="A11" s="8">
        <v>4</v>
      </c>
      <c r="B11" s="4" t="s">
        <v>2</v>
      </c>
      <c r="C11" s="4" t="s">
        <v>0</v>
      </c>
      <c r="D11" s="9">
        <v>4.9999999999999998E-8</v>
      </c>
      <c r="E11" s="9">
        <v>5.0000000000000001E-9</v>
      </c>
      <c r="F11" s="9">
        <v>4.9999999999999998E-7</v>
      </c>
    </row>
    <row r="12" spans="1:6" x14ac:dyDescent="0.25">
      <c r="A12" s="8">
        <v>4</v>
      </c>
      <c r="B12" s="4" t="s">
        <v>2</v>
      </c>
      <c r="C12" s="4" t="s">
        <v>12</v>
      </c>
      <c r="D12" s="9">
        <f>D11*3.28084</f>
        <v>1.6404199999999998E-7</v>
      </c>
      <c r="E12" s="9">
        <f>E11*3.28084</f>
        <v>1.64042E-8</v>
      </c>
      <c r="F12" s="9">
        <f>F11*3.28084</f>
        <v>1.6404199999999999E-6</v>
      </c>
    </row>
    <row r="13" spans="1:6" s="13" customFormat="1" x14ac:dyDescent="0.25">
      <c r="A13" s="14">
        <v>4</v>
      </c>
      <c r="B13" s="11" t="s">
        <v>2</v>
      </c>
      <c r="C13" s="11" t="s">
        <v>13</v>
      </c>
      <c r="D13" s="12">
        <f>D12*86400</f>
        <v>1.4173228799999998E-2</v>
      </c>
      <c r="E13" s="12">
        <f t="shared" ref="E13:F13" si="3">E12*86400</f>
        <v>1.4173228800000001E-3</v>
      </c>
      <c r="F13" s="12">
        <f t="shared" si="3"/>
        <v>0.14173228799999998</v>
      </c>
    </row>
    <row r="14" spans="1:6" x14ac:dyDescent="0.25">
      <c r="A14" s="8">
        <v>5</v>
      </c>
      <c r="B14" s="4" t="s">
        <v>3</v>
      </c>
      <c r="C14" s="4" t="s">
        <v>0</v>
      </c>
      <c r="D14" s="9">
        <v>4.9999999999999999E-13</v>
      </c>
      <c r="E14" s="4">
        <v>0</v>
      </c>
      <c r="F14" s="9">
        <v>5.0000000000000002E-11</v>
      </c>
    </row>
    <row r="15" spans="1:6" x14ac:dyDescent="0.25">
      <c r="A15" s="8">
        <v>5</v>
      </c>
      <c r="B15" s="4" t="s">
        <v>3</v>
      </c>
      <c r="C15" s="4" t="s">
        <v>12</v>
      </c>
      <c r="D15" s="9">
        <f t="shared" ref="D15:F15" si="4">D14*3.28084</f>
        <v>1.64042E-12</v>
      </c>
      <c r="E15" s="9">
        <f t="shared" si="4"/>
        <v>0</v>
      </c>
      <c r="F15" s="9">
        <f t="shared" si="4"/>
        <v>1.64042E-10</v>
      </c>
    </row>
    <row r="16" spans="1:6" s="13" customFormat="1" x14ac:dyDescent="0.25">
      <c r="A16" s="14">
        <v>5</v>
      </c>
      <c r="B16" s="11" t="s">
        <v>3</v>
      </c>
      <c r="C16" s="11" t="s">
        <v>13</v>
      </c>
      <c r="D16" s="15">
        <f>D15*86400</f>
        <v>1.41732288E-7</v>
      </c>
      <c r="E16" s="15">
        <f t="shared" ref="E16:F16" si="5">E15*86400</f>
        <v>0</v>
      </c>
      <c r="F16" s="15">
        <f t="shared" si="5"/>
        <v>1.41732288E-5</v>
      </c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Saalem Adera</dc:creator>
  <cp:lastModifiedBy>Saalem Adera</cp:lastModifiedBy>
  <dcterms:created xsi:type="dcterms:W3CDTF">2018-03-19T15:53:16Z</dcterms:created>
  <dcterms:modified xsi:type="dcterms:W3CDTF">2020-02-13T23:54:08Z</dcterms:modified>
</cp:coreProperties>
</file>