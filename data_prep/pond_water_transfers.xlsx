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git_repos\alameda\pestPrep\data_prep\"/>
    </mc:Choice>
  </mc:AlternateContent>
  <xr:revisionPtr revIDLastSave="0" documentId="13_ncr:1_{89870A70-87EC-49DA-A5DB-6E11196FF75D}" xr6:coauthVersionLast="45" xr6:coauthVersionMax="45" xr10:uidLastSave="{00000000-0000-0000-0000-000000000000}"/>
  <bookViews>
    <workbookView xWindow="23040" yWindow="1110" windowWidth="21105" windowHeight="9615" xr2:uid="{00000000-000D-0000-FFFF-FFFF00000000}"/>
  </bookViews>
  <sheets>
    <sheet name="Pond setup" sheetId="1" r:id="rId1"/>
    <sheet name="Defini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11" i="1"/>
</calcChain>
</file>

<file path=xl/sharedStrings.xml><?xml version="1.0" encoding="utf-8"?>
<sst xmlns="http://schemas.openxmlformats.org/spreadsheetml/2006/main" count="68" uniqueCount="35">
  <si>
    <t>Pond ID</t>
  </si>
  <si>
    <t>Pond name</t>
  </si>
  <si>
    <t>Drainage segment</t>
  </si>
  <si>
    <t>Drainage type</t>
  </si>
  <si>
    <t>Pond water transferred to</t>
  </si>
  <si>
    <t>No Name Pond</t>
  </si>
  <si>
    <t>Pond F6</t>
  </si>
  <si>
    <t>Ready Mix Pond</t>
  </si>
  <si>
    <t>Pond F5</t>
  </si>
  <si>
    <t>Pond F4</t>
  </si>
  <si>
    <t>Pond F3W</t>
  </si>
  <si>
    <t>Pond F3E</t>
  </si>
  <si>
    <t>Pond F2</t>
  </si>
  <si>
    <t>SMP 32</t>
  </si>
  <si>
    <t>Segment 215</t>
  </si>
  <si>
    <t>Segment 195</t>
  </si>
  <si>
    <t>Segment 194</t>
  </si>
  <si>
    <t>out of model domain</t>
  </si>
  <si>
    <t>Segment 175</t>
  </si>
  <si>
    <t>natural</t>
  </si>
  <si>
    <t>none</t>
  </si>
  <si>
    <t>specified</t>
  </si>
  <si>
    <t>Drainage elevation (ft)</t>
  </si>
  <si>
    <t>May 2020 (during PEST calibration)</t>
  </si>
  <si>
    <t>October 2020 (after experiments)</t>
  </si>
  <si>
    <t>Definition</t>
  </si>
  <si>
    <t>once the pond reaches the drainage elevation, any additional water drains out of the pond</t>
  </si>
  <si>
    <t>Term</t>
  </si>
  <si>
    <t>water drains out of the pond at the rate specified per day (from a time series provided to the model) as long as water is above the drainage elevation</t>
  </si>
  <si>
    <t>no water drains out of the pond at the drainage elevation, instead water can only leave the pond via surface water if it the pond fills up</t>
  </si>
  <si>
    <t>Use this elevation 10/22/2020 for next PEST calibration</t>
  </si>
  <si>
    <t>150 (both), 160 (spin-up), 225 (calibration)</t>
  </si>
  <si>
    <t>specified between 230 (both, ISEG 958) and 245 (spin-up, ISEG 966) or 250 ft (calibration, ISEG 197), natural above 245 (spin-up, ISEG 966) or 250 (calibration, ISEG 197)</t>
  </si>
  <si>
    <t>specified between 150 (both, ISEG 964) and 160 (spin-up, ISEG 965) or 225 ft (calibration ISEG 181), natural above 160 (spin-up, ISEG 965) or 225 (calibration, ISEG 181)</t>
  </si>
  <si>
    <t>230 (both), 245 (spin-up) or 250 (calibration)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</si>
</sst>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G1" workbookViewId="0">
      <selection activeCell="J7" sqref="J7"/>
    </sheetView>
  </sheetViews>
  <sheetFormatPr defaultRowHeight="15" x14ac:dyDescent="0.25"/>
  <cols>
    <col min="1" max="1" width="7.85546875" bestFit="1" customWidth="1"/>
    <col min="2" max="2" width="15.28515625" bestFit="1" customWidth="1"/>
    <col min="3" max="3" width="17.28515625" bestFit="1" customWidth="1"/>
    <col min="4" max="4" width="24.28515625" bestFit="1" customWidth="1"/>
    <col min="5" max="5" width="24.140625" customWidth="1"/>
    <col min="6" max="6" width="25" customWidth="1"/>
    <col min="7" max="7" width="21.42578125" bestFit="1" customWidth="1"/>
    <col min="8" max="8" width="13.42578125" bestFit="1" customWidth="1"/>
    <col min="9" max="9" width="41" bestFit="1" customWidth="1"/>
    <col min="10" max="10" width="4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4</v>
      </c>
      <c r="E1" s="4" t="s">
        <v>24</v>
      </c>
      <c r="F1" s="3"/>
      <c r="G1" s="3" t="s">
        <v>23</v>
      </c>
      <c r="H1" s="3"/>
      <c r="I1" s="5" t="s">
        <v>30</v>
      </c>
      <c r="J1" s="5"/>
    </row>
    <row r="2" spans="1:10" x14ac:dyDescent="0.25">
      <c r="A2" s="3"/>
      <c r="B2" s="3"/>
      <c r="C2" s="3"/>
      <c r="D2" s="3"/>
      <c r="E2" s="1" t="s">
        <v>22</v>
      </c>
      <c r="F2" s="1" t="s">
        <v>3</v>
      </c>
      <c r="G2" s="1" t="s">
        <v>22</v>
      </c>
      <c r="H2" s="1" t="s">
        <v>3</v>
      </c>
      <c r="I2" s="6" t="s">
        <v>22</v>
      </c>
      <c r="J2" s="6" t="s">
        <v>3</v>
      </c>
    </row>
    <row r="3" spans="1:10" x14ac:dyDescent="0.25">
      <c r="A3" s="1">
        <v>2</v>
      </c>
      <c r="B3" s="1" t="s">
        <v>5</v>
      </c>
      <c r="C3" s="1">
        <v>961</v>
      </c>
      <c r="D3" s="1" t="s">
        <v>14</v>
      </c>
      <c r="E3" s="1">
        <v>186</v>
      </c>
      <c r="F3" s="1" t="s">
        <v>19</v>
      </c>
      <c r="G3" s="1">
        <v>186</v>
      </c>
      <c r="H3" s="1" t="s">
        <v>19</v>
      </c>
      <c r="I3" s="6">
        <f>G3</f>
        <v>186</v>
      </c>
      <c r="J3" s="7" t="s">
        <v>19</v>
      </c>
    </row>
    <row r="4" spans="1:10" x14ac:dyDescent="0.25">
      <c r="A4" s="1">
        <v>3</v>
      </c>
      <c r="B4" s="1" t="s">
        <v>6</v>
      </c>
      <c r="C4" s="1">
        <v>957</v>
      </c>
      <c r="D4" s="1" t="s">
        <v>9</v>
      </c>
      <c r="E4" s="1">
        <v>256</v>
      </c>
      <c r="F4" s="1" t="s">
        <v>19</v>
      </c>
      <c r="G4" s="1">
        <v>160</v>
      </c>
      <c r="H4" s="1" t="s">
        <v>19</v>
      </c>
      <c r="I4" s="6">
        <f t="shared" ref="I4:I5" si="0">G4</f>
        <v>160</v>
      </c>
      <c r="J4" s="7" t="s">
        <v>19</v>
      </c>
    </row>
    <row r="5" spans="1:10" x14ac:dyDescent="0.25">
      <c r="A5" s="1">
        <v>4</v>
      </c>
      <c r="B5" s="1" t="s">
        <v>7</v>
      </c>
      <c r="C5" s="1">
        <v>962</v>
      </c>
      <c r="D5" s="1" t="s">
        <v>15</v>
      </c>
      <c r="E5" s="1">
        <v>258.34699999999998</v>
      </c>
      <c r="F5" s="1" t="s">
        <v>20</v>
      </c>
      <c r="G5" s="1">
        <v>258.34699999999998</v>
      </c>
      <c r="H5" s="1" t="s">
        <v>20</v>
      </c>
      <c r="I5" s="6">
        <f t="shared" si="0"/>
        <v>258.34699999999998</v>
      </c>
      <c r="J5" s="7" t="s">
        <v>20</v>
      </c>
    </row>
    <row r="6" spans="1:10" x14ac:dyDescent="0.25">
      <c r="A6" s="1">
        <v>5</v>
      </c>
      <c r="B6" s="1" t="s">
        <v>8</v>
      </c>
      <c r="C6" s="1">
        <v>963</v>
      </c>
      <c r="D6" s="1" t="s">
        <v>9</v>
      </c>
      <c r="E6" s="1">
        <v>243.5</v>
      </c>
      <c r="F6" s="1" t="s">
        <v>20</v>
      </c>
      <c r="G6" s="1">
        <v>250.755</v>
      </c>
      <c r="H6" s="1" t="s">
        <v>20</v>
      </c>
      <c r="I6" s="9">
        <v>250.755</v>
      </c>
      <c r="J6" s="7" t="s">
        <v>20</v>
      </c>
    </row>
    <row r="7" spans="1:10" ht="60" x14ac:dyDescent="0.25">
      <c r="A7" s="1">
        <v>6</v>
      </c>
      <c r="B7" s="1" t="s">
        <v>9</v>
      </c>
      <c r="C7" s="1">
        <v>958</v>
      </c>
      <c r="D7" s="1" t="s">
        <v>16</v>
      </c>
      <c r="E7" s="1">
        <v>250</v>
      </c>
      <c r="F7" s="1" t="s">
        <v>19</v>
      </c>
      <c r="G7" s="1">
        <v>230</v>
      </c>
      <c r="H7" s="1" t="s">
        <v>19</v>
      </c>
      <c r="I7" s="6" t="s">
        <v>34</v>
      </c>
      <c r="J7" s="8" t="s">
        <v>32</v>
      </c>
    </row>
    <row r="8" spans="1:10" x14ac:dyDescent="0.25">
      <c r="A8" s="1">
        <v>7</v>
      </c>
      <c r="B8" s="1" t="s">
        <v>10</v>
      </c>
      <c r="C8" s="1">
        <v>959</v>
      </c>
      <c r="D8" s="1" t="s">
        <v>12</v>
      </c>
      <c r="E8" s="1">
        <v>245</v>
      </c>
      <c r="F8" s="1" t="s">
        <v>19</v>
      </c>
      <c r="G8" s="1">
        <v>225</v>
      </c>
      <c r="H8" s="1" t="s">
        <v>19</v>
      </c>
      <c r="I8" s="6">
        <v>235</v>
      </c>
      <c r="J8" s="7" t="s">
        <v>19</v>
      </c>
    </row>
    <row r="9" spans="1:10" x14ac:dyDescent="0.25">
      <c r="A9" s="1">
        <v>8</v>
      </c>
      <c r="B9" s="1" t="s">
        <v>11</v>
      </c>
      <c r="C9" s="1">
        <v>960</v>
      </c>
      <c r="D9" s="1" t="s">
        <v>17</v>
      </c>
      <c r="E9" s="1">
        <v>195</v>
      </c>
      <c r="F9" s="1" t="s">
        <v>19</v>
      </c>
      <c r="G9" s="1">
        <v>195</v>
      </c>
      <c r="H9" s="1" t="s">
        <v>19</v>
      </c>
      <c r="I9" s="6">
        <v>195</v>
      </c>
      <c r="J9" s="7" t="s">
        <v>19</v>
      </c>
    </row>
    <row r="10" spans="1:10" ht="60" x14ac:dyDescent="0.25">
      <c r="A10" s="1">
        <v>9</v>
      </c>
      <c r="B10" s="1" t="s">
        <v>12</v>
      </c>
      <c r="C10" s="1">
        <v>964</v>
      </c>
      <c r="D10" s="1" t="s">
        <v>18</v>
      </c>
      <c r="E10" s="1">
        <v>160</v>
      </c>
      <c r="F10" s="1" t="s">
        <v>19</v>
      </c>
      <c r="G10" s="1">
        <v>254</v>
      </c>
      <c r="H10" s="1" t="s">
        <v>21</v>
      </c>
      <c r="I10" s="6" t="s">
        <v>31</v>
      </c>
      <c r="J10" s="8" t="s">
        <v>33</v>
      </c>
    </row>
    <row r="11" spans="1:10" x14ac:dyDescent="0.25">
      <c r="A11" s="1">
        <v>10</v>
      </c>
      <c r="B11" s="1" t="s">
        <v>13</v>
      </c>
      <c r="C11" s="1">
        <v>956</v>
      </c>
      <c r="D11" s="1" t="s">
        <v>10</v>
      </c>
      <c r="E11" s="1">
        <v>126.2</v>
      </c>
      <c r="F11" s="1" t="s">
        <v>19</v>
      </c>
      <c r="G11" s="1">
        <v>126.2</v>
      </c>
      <c r="H11" s="1" t="s">
        <v>19</v>
      </c>
      <c r="I11" s="6">
        <f>E11</f>
        <v>126.2</v>
      </c>
      <c r="J11" s="7" t="s">
        <v>19</v>
      </c>
    </row>
  </sheetData>
  <mergeCells count="4">
    <mergeCell ref="G1:H1"/>
    <mergeCell ref="E1:F1"/>
    <mergeCell ref="A2:D2"/>
    <mergeCell ref="I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12" sqref="B12"/>
    </sheetView>
  </sheetViews>
  <sheetFormatPr defaultRowHeight="15" x14ac:dyDescent="0.25"/>
  <cols>
    <col min="1" max="1" width="26.85546875" customWidth="1"/>
    <col min="2" max="2" width="99.42578125" customWidth="1"/>
  </cols>
  <sheetData>
    <row r="1" spans="1:2" x14ac:dyDescent="0.25">
      <c r="A1" t="s">
        <v>27</v>
      </c>
      <c r="B1" t="s">
        <v>25</v>
      </c>
    </row>
    <row r="2" spans="1:2" x14ac:dyDescent="0.25">
      <c r="A2" t="s">
        <v>19</v>
      </c>
      <c r="B2" t="s">
        <v>26</v>
      </c>
    </row>
    <row r="3" spans="1:2" ht="30" x14ac:dyDescent="0.25">
      <c r="A3" t="s">
        <v>21</v>
      </c>
      <c r="B3" s="2" t="s">
        <v>28</v>
      </c>
    </row>
    <row r="4" spans="1:2" ht="30" x14ac:dyDescent="0.25">
      <c r="A4" t="s">
        <v>20</v>
      </c>
      <c r="B4" s="2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Pond setup</vt:lpstr>
      <vt:lpstr>Definitions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Saalem Adera</dc:creator>
  <cp:lastModifiedBy>Saalem Adera</cp:lastModifiedBy>
  <dcterms:created xsi:type="dcterms:W3CDTF">2020-10-22T18:02:17Z</dcterms:created>
  <dcterms:modified xsi:type="dcterms:W3CDTF">2020-11-06T04:51:30Z</dcterms:modified>
</cp:coreProperties>
</file>